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00" windowHeight="7740"/>
  </bookViews>
  <sheets>
    <sheet name="LGC " sheetId="1" r:id="rId1"/>
    <sheet name="Afc wood" sheetId="2" r:id="rId2"/>
    <sheet name="afc 818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<sst xmlns="http://schemas.openxmlformats.org/spreadsheetml/2006/main" count="66" uniqueCount="31">
  <si>
    <t>LGC HARDWARE AND GENERAL MERCHANDISE</t>
  </si>
  <si>
    <t>Poblacion, Makilala, North Cotabato</t>
  </si>
  <si>
    <t>CHECK VOUCHER</t>
  </si>
  <si>
    <t>Voucher No.:</t>
  </si>
  <si>
    <t>2026-187</t>
  </si>
  <si>
    <t>Date:</t>
  </si>
  <si>
    <t>WV NEW DAVAO GOLDSTAR HARDWARE CO., INC</t>
  </si>
  <si>
    <t>PARTICULARS</t>
  </si>
  <si>
    <t>Amount</t>
  </si>
  <si>
    <t>PAYMENT FOR ASSORTED VARIOUS</t>
  </si>
  <si>
    <t>Gross Total</t>
  </si>
  <si>
    <t>12% vat</t>
  </si>
  <si>
    <t>1% withhold</t>
  </si>
  <si>
    <t>TOTAL</t>
  </si>
  <si>
    <t>Less return</t>
  </si>
  <si>
    <t>Bank Name:</t>
  </si>
  <si>
    <t>Check No.:</t>
  </si>
  <si>
    <t>Date of Check:</t>
  </si>
  <si>
    <t>Received By:</t>
  </si>
  <si>
    <t>Name:</t>
  </si>
  <si>
    <t>Signature:</t>
  </si>
  <si>
    <t>AFC WOOD INDUSTRY</t>
  </si>
  <si>
    <t>San Vicente Makilala, North Cotabato</t>
  </si>
  <si>
    <t>2026-035</t>
  </si>
  <si>
    <t>COTELCO</t>
  </si>
  <si>
    <t>payment for ELECTRICY BILL</t>
  </si>
  <si>
    <t>Total</t>
  </si>
  <si>
    <t>AFC 818 GAS STATION</t>
  </si>
  <si>
    <t>2026-008</t>
  </si>
  <si>
    <t>78/7</t>
  </si>
  <si>
    <t>payment for Electric Bill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</si>
</sst>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4" formatCode="_-&quot;₱&quot;* #,##0.00_-;\-&quot;₱&quot;* #,##0.00_-;_-&quot;₱&quot;* &quot;-&quot;??_-;_-@_-"/>
    <numFmt numFmtId="176" formatCode="_(* #,##0.00_);_(* \(#,##0.00\);_(* &quot;-&quot;??_);_(@_)"/>
  </numFmts>
  <fonts count="29">
    <font>
      <sz val="11"/>
      <color theme="1"/>
      <name val="Calibri"/>
      <charset val="134"/>
      <scheme val="minor"/>
    </font>
    <font>
      <b/>
      <sz val="15"/>
      <color theme="1"/>
      <name val="Century Gothic"/>
      <charset val="134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b/>
      <sz val="25"/>
      <name val="Century Gothic"/>
      <charset val="134"/>
    </font>
    <font>
      <b/>
      <sz val="25"/>
      <color theme="1"/>
      <name val="Century Gothic"/>
      <charset val="134"/>
    </font>
    <font>
      <b/>
      <sz val="20"/>
      <name val="Century Gothic"/>
      <charset val="134"/>
    </font>
    <font>
      <sz val="25"/>
      <color theme="1"/>
      <name val="Calibri"/>
      <charset val="134"/>
      <scheme val="minor"/>
    </font>
    <font>
      <sz val="15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6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0" xfId="0" applyFont="1"/>
    <xf numFmtId="58" fontId="2" fillId="0" borderId="1" xfId="0" applyNumberFormat="1" applyFont="1" applyBorder="1"/>
    <xf numFmtId="0" fontId="4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176" fontId="2" fillId="0" borderId="1" xfId="1" applyFont="1" applyBorder="1"/>
    <xf numFmtId="0" fontId="2" fillId="0" borderId="1" xfId="0" applyFont="1" applyBorder="1"/>
    <xf numFmtId="0" fontId="2" fillId="0" borderId="1" xfId="0" applyFont="1" applyBorder="1" applyAlignment="1">
      <alignment vertical="top"/>
    </xf>
    <xf numFmtId="0" fontId="2" fillId="0" borderId="0" xfId="0" applyFont="1" applyAlignment="1">
      <alignment horizontal="right"/>
    </xf>
    <xf numFmtId="0" fontId="6" fillId="0" borderId="2" xfId="0" applyFont="1" applyBorder="1" applyAlignment="1">
      <alignment horizontal="center" wrapText="1"/>
    </xf>
    <xf numFmtId="0" fontId="7" fillId="0" borderId="0" xfId="0" applyFont="1"/>
    <xf numFmtId="0" fontId="8" fillId="0" borderId="0" xfId="0" applyFont="1"/>
    <xf numFmtId="176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abSelected="1" workbookViewId="0">
      <selection activeCell="F5" sqref="F5"/>
    </sheetView>
  </sheetViews>
  <sheetFormatPr defaultColWidth="9" defaultRowHeight="14.25" outlineLevelCol="2"/>
  <cols>
    <col min="1" max="1" width="35" customWidth="1"/>
    <col min="2" max="2" width="24.7079646017699" customWidth="1"/>
    <col min="3" max="3" width="29.141592920354" customWidth="1"/>
  </cols>
  <sheetData>
    <row r="1" ht="19.1" spans="1:3">
      <c r="A1" s="1" t="s">
        <v>0</v>
      </c>
      <c r="B1" s="1"/>
      <c r="C1" s="1"/>
    </row>
    <row r="2" spans="1:3">
      <c r="A2" s="2" t="s">
        <v>1</v>
      </c>
      <c r="B2" s="2"/>
      <c r="C2" s="2"/>
    </row>
    <row r="3" spans="1:3">
      <c r="A3" s="3" t="s">
        <v>2</v>
      </c>
      <c r="B3" s="4" t="s">
        <v>3</v>
      </c>
      <c r="C3" s="5" t="s">
        <v>4</v>
      </c>
    </row>
    <row r="4" spans="1:3">
      <c r="A4" s="6"/>
      <c r="B4" s="4" t="s">
        <v>5</v>
      </c>
      <c r="C4" s="7">
        <v>46244</v>
      </c>
    </row>
    <row r="5" s="20" customFormat="1" ht="49.5" customHeight="1" spans="1:3">
      <c r="A5" s="19" t="s">
        <v>6</v>
      </c>
      <c r="B5" s="19"/>
      <c r="C5" s="19"/>
    </row>
    <row r="6" s="21" customFormat="1" ht="21" customHeight="1" spans="1:3">
      <c r="A6" s="9" t="s">
        <v>7</v>
      </c>
      <c r="B6" s="9"/>
      <c r="C6" s="10" t="s">
        <v>8</v>
      </c>
    </row>
    <row r="7" spans="1:3">
      <c r="A7" s="11" t="s">
        <v>9</v>
      </c>
      <c r="B7" s="11"/>
      <c r="C7" s="22">
        <f>B14-B15-B13</f>
        <v>212584.821428571</v>
      </c>
    </row>
    <row r="8" spans="1:3">
      <c r="A8" s="11"/>
      <c r="B8" s="11"/>
      <c r="C8" s="23"/>
    </row>
    <row r="9" spans="1:3">
      <c r="A9" s="11"/>
      <c r="B9" s="11"/>
      <c r="C9" s="23"/>
    </row>
    <row r="10" spans="1:3">
      <c r="A10" s="11"/>
      <c r="B10" s="11"/>
      <c r="C10" s="23"/>
    </row>
    <row r="11" spans="1:3">
      <c r="A11" s="14" t="s">
        <v>10</v>
      </c>
      <c r="B11" s="15">
        <v>214500</v>
      </c>
      <c r="C11" s="23"/>
    </row>
    <row r="12" spans="1:3">
      <c r="A12" s="14" t="s">
        <v>11</v>
      </c>
      <c r="B12" s="15">
        <f>B11/1.12</f>
        <v>191517.857142857</v>
      </c>
      <c r="C12" s="23"/>
    </row>
    <row r="13" spans="1:3">
      <c r="A13" s="14" t="s">
        <v>12</v>
      </c>
      <c r="B13" s="15">
        <f>B12*1%</f>
        <v>1915.17857142857</v>
      </c>
      <c r="C13" s="23"/>
    </row>
    <row r="14" spans="1:3">
      <c r="A14" s="14" t="s">
        <v>13</v>
      </c>
      <c r="B14" s="15">
        <v>214500</v>
      </c>
      <c r="C14" s="23"/>
    </row>
    <row r="15" spans="1:3">
      <c r="A15" s="14" t="s">
        <v>14</v>
      </c>
      <c r="B15" s="15"/>
      <c r="C15" s="23"/>
    </row>
    <row r="16" ht="24" customHeight="1" spans="1:3">
      <c r="A16" s="16" t="s">
        <v>15</v>
      </c>
      <c r="B16" s="16" t="s">
        <v>16</v>
      </c>
      <c r="C16" s="16" t="s">
        <v>17</v>
      </c>
    </row>
    <row r="17" spans="1:3">
      <c r="A17" s="6"/>
      <c r="B17" s="6"/>
      <c r="C17" s="6"/>
    </row>
    <row r="18" spans="1:3">
      <c r="A18" s="6" t="s">
        <v>18</v>
      </c>
      <c r="B18" s="6"/>
      <c r="C18" s="6"/>
    </row>
    <row r="19" spans="1:3">
      <c r="A19" s="16" t="s">
        <v>19</v>
      </c>
      <c r="B19" s="16" t="s">
        <v>20</v>
      </c>
      <c r="C19" s="16" t="s">
        <v>5</v>
      </c>
    </row>
  </sheetData>
  <mergeCells count="6">
    <mergeCell ref="A1:C1"/>
    <mergeCell ref="A2:C2"/>
    <mergeCell ref="A5:C5"/>
    <mergeCell ref="A6:B6"/>
    <mergeCell ref="C7:C15"/>
    <mergeCell ref="A7:B10"/>
  </mergeCell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B18" sqref="B18"/>
    </sheetView>
  </sheetViews>
  <sheetFormatPr defaultColWidth="9" defaultRowHeight="14.25" outlineLevelCol="2"/>
  <cols>
    <col min="1" max="1" width="32.858407079646" customWidth="1"/>
    <col min="2" max="2" width="24.7079646017699" customWidth="1"/>
    <col min="3" max="3" width="33.5663716814159" customWidth="1"/>
  </cols>
  <sheetData>
    <row r="1" ht="19.1" spans="1:3">
      <c r="A1" s="1" t="s">
        <v>21</v>
      </c>
      <c r="B1" s="1"/>
      <c r="C1" s="1"/>
    </row>
    <row r="2" spans="1:3">
      <c r="A2" s="2" t="s">
        <v>22</v>
      </c>
      <c r="B2" s="2"/>
      <c r="C2" s="2"/>
    </row>
    <row r="3" spans="1:3">
      <c r="A3" s="3" t="s">
        <v>2</v>
      </c>
      <c r="B3" s="18" t="s">
        <v>3</v>
      </c>
      <c r="C3" s="5" t="s">
        <v>23</v>
      </c>
    </row>
    <row r="4" spans="1:3">
      <c r="A4" s="6"/>
      <c r="B4" s="18" t="s">
        <v>5</v>
      </c>
      <c r="C4" s="7">
        <v>46241</v>
      </c>
    </row>
    <row r="5" ht="34.5" customHeight="1" spans="1:3">
      <c r="A5" s="19" t="s">
        <v>24</v>
      </c>
      <c r="B5" s="19"/>
      <c r="C5" s="19"/>
    </row>
    <row r="6" ht="20.1" customHeight="1" spans="1:3">
      <c r="A6" s="9" t="s">
        <v>7</v>
      </c>
      <c r="B6" s="9"/>
      <c r="C6" s="10" t="s">
        <v>8</v>
      </c>
    </row>
    <row r="7" spans="1:3">
      <c r="A7" s="11" t="s">
        <v>25</v>
      </c>
      <c r="B7" s="11"/>
      <c r="C7" s="12">
        <f>B14-B13-B15</f>
        <v>24011.65</v>
      </c>
    </row>
    <row r="8" spans="1:3">
      <c r="A8" s="11"/>
      <c r="B8" s="11"/>
      <c r="C8" s="13"/>
    </row>
    <row r="9" spans="1:3">
      <c r="A9" s="11"/>
      <c r="B9" s="11"/>
      <c r="C9" s="13"/>
    </row>
    <row r="10" spans="1:3">
      <c r="A10" s="11"/>
      <c r="B10" s="11"/>
      <c r="C10" s="13"/>
    </row>
    <row r="11" spans="1:3">
      <c r="A11" s="14" t="s">
        <v>10</v>
      </c>
      <c r="B11" s="15"/>
      <c r="C11" s="13"/>
    </row>
    <row r="12" spans="1:3">
      <c r="A12" s="14" t="s">
        <v>11</v>
      </c>
      <c r="B12" s="15">
        <f>B11/1.12</f>
        <v>0</v>
      </c>
      <c r="C12" s="13"/>
    </row>
    <row r="13" spans="1:3">
      <c r="A13" s="14" t="s">
        <v>12</v>
      </c>
      <c r="B13" s="15">
        <f>B12*1%</f>
        <v>0</v>
      </c>
      <c r="C13" s="13"/>
    </row>
    <row r="14" spans="1:3">
      <c r="A14" s="14" t="s">
        <v>26</v>
      </c>
      <c r="B14" s="15">
        <v>24399.82</v>
      </c>
      <c r="C14" s="13"/>
    </row>
    <row r="15" spans="1:3">
      <c r="A15" s="14" t="s">
        <v>14</v>
      </c>
      <c r="B15" s="15">
        <v>388.17</v>
      </c>
      <c r="C15" s="13"/>
    </row>
    <row r="16" ht="24" customHeight="1" spans="1:3">
      <c r="A16" s="16" t="s">
        <v>15</v>
      </c>
      <c r="B16" s="16" t="s">
        <v>16</v>
      </c>
      <c r="C16" s="16" t="s">
        <v>17</v>
      </c>
    </row>
    <row r="17" spans="1:3">
      <c r="A17" s="6"/>
      <c r="B17" s="6"/>
      <c r="C17" s="6"/>
    </row>
    <row r="18" spans="1:3">
      <c r="A18" s="6" t="s">
        <v>18</v>
      </c>
      <c r="B18" s="6"/>
      <c r="C18" s="6"/>
    </row>
    <row r="19" spans="1:3">
      <c r="A19" s="16" t="s">
        <v>19</v>
      </c>
      <c r="B19" s="16" t="s">
        <v>20</v>
      </c>
      <c r="C19" s="7"/>
    </row>
  </sheetData>
  <mergeCells count="6">
    <mergeCell ref="A1:C1"/>
    <mergeCell ref="A2:C2"/>
    <mergeCell ref="A5:C5"/>
    <mergeCell ref="A6:B6"/>
    <mergeCell ref="C7:C15"/>
    <mergeCell ref="A7:B10"/>
  </mergeCells>
  <pageMargins left="0.25" right="0.25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B16" sqref="B16"/>
    </sheetView>
  </sheetViews>
  <sheetFormatPr defaultColWidth="9" defaultRowHeight="14.25" outlineLevelCol="2"/>
  <cols>
    <col min="1" max="1" width="35" customWidth="1"/>
    <col min="2" max="2" width="24.7079646017699" customWidth="1"/>
    <col min="3" max="3" width="27.858407079646" customWidth="1"/>
  </cols>
  <sheetData>
    <row r="1" ht="19.1" spans="1:3">
      <c r="A1" s="1" t="s">
        <v>27</v>
      </c>
      <c r="B1" s="1"/>
      <c r="C1" s="1"/>
    </row>
    <row r="2" spans="1:3">
      <c r="A2" s="2" t="s">
        <v>1</v>
      </c>
      <c r="B2" s="2"/>
      <c r="C2" s="2"/>
    </row>
    <row r="3" spans="1:3">
      <c r="A3" s="3" t="s">
        <v>2</v>
      </c>
      <c r="B3" s="4" t="s">
        <v>3</v>
      </c>
      <c r="C3" s="5" t="s">
        <v>28</v>
      </c>
    </row>
    <row r="4" spans="1:3">
      <c r="A4" s="6"/>
      <c r="B4" s="4" t="s">
        <v>5</v>
      </c>
      <c r="C4" s="7" t="s">
        <v>29</v>
      </c>
    </row>
    <row r="5" ht="30" customHeight="1" spans="1:3">
      <c r="A5" s="8" t="s">
        <v>24</v>
      </c>
      <c r="B5" s="8"/>
      <c r="C5" s="8"/>
    </row>
    <row r="6" ht="19.1" spans="1:3">
      <c r="A6" s="9" t="s">
        <v>7</v>
      </c>
      <c r="B6" s="9"/>
      <c r="C6" s="10" t="s">
        <v>8</v>
      </c>
    </row>
    <row r="7" spans="1:3">
      <c r="A7" s="11" t="s">
        <v>30</v>
      </c>
      <c r="B7" s="11"/>
      <c r="C7" s="12">
        <f>B14-B13-B15</f>
        <v>9722.33</v>
      </c>
    </row>
    <row r="8" spans="1:3">
      <c r="A8" s="11"/>
      <c r="B8" s="11"/>
      <c r="C8" s="13"/>
    </row>
    <row r="9" spans="1:3">
      <c r="A9" s="11"/>
      <c r="B9" s="11"/>
      <c r="C9" s="13"/>
    </row>
    <row r="10" spans="1:3">
      <c r="A10" s="11"/>
      <c r="B10" s="11"/>
      <c r="C10" s="13"/>
    </row>
    <row r="11" spans="1:3">
      <c r="A11" s="14" t="s">
        <v>10</v>
      </c>
      <c r="B11" s="15"/>
      <c r="C11" s="13"/>
    </row>
    <row r="12" spans="1:3">
      <c r="A12" s="14" t="s">
        <v>11</v>
      </c>
      <c r="B12" s="15">
        <f>B11/1.12</f>
        <v>0</v>
      </c>
      <c r="C12" s="13"/>
    </row>
    <row r="13" spans="1:3">
      <c r="A13" s="14" t="s">
        <v>12</v>
      </c>
      <c r="B13" s="15">
        <f>B12*1%</f>
        <v>0</v>
      </c>
      <c r="C13" s="13"/>
    </row>
    <row r="14" spans="1:3">
      <c r="A14" s="14" t="s">
        <v>26</v>
      </c>
      <c r="B14" s="15">
        <v>9875.8</v>
      </c>
      <c r="C14" s="13"/>
    </row>
    <row r="15" spans="1:3">
      <c r="A15" s="14" t="s">
        <v>14</v>
      </c>
      <c r="B15" s="15">
        <v>153.47</v>
      </c>
      <c r="C15" s="13"/>
    </row>
    <row r="16" ht="24" customHeight="1" spans="1:3">
      <c r="A16" s="16" t="s">
        <v>15</v>
      </c>
      <c r="B16" s="17" t="s">
        <v>16</v>
      </c>
      <c r="C16" s="16" t="s">
        <v>17</v>
      </c>
    </row>
    <row r="17" spans="1:3">
      <c r="A17" s="6"/>
      <c r="B17" s="6"/>
      <c r="C17" s="6"/>
    </row>
    <row r="18" spans="1:3">
      <c r="A18" s="6" t="s">
        <v>18</v>
      </c>
      <c r="B18" s="6"/>
      <c r="C18" s="6"/>
    </row>
    <row r="19" spans="1:3">
      <c r="A19" s="16" t="s">
        <v>19</v>
      </c>
      <c r="B19" s="16" t="s">
        <v>20</v>
      </c>
      <c r="C19" s="16" t="s">
        <v>5</v>
      </c>
    </row>
  </sheetData>
  <mergeCells count="6">
    <mergeCell ref="A1:C1"/>
    <mergeCell ref="A2:C2"/>
    <mergeCell ref="A5:C5"/>
    <mergeCell ref="A6:B6"/>
    <mergeCell ref="C7:C15"/>
    <mergeCell ref="A7:B10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LGC </vt:lpstr>
      <vt:lpstr>Afc wood</vt:lpstr>
      <vt:lpstr>afc 818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hsl</cp:lastModifiedBy>
  <dcterms:created xsi:type="dcterms:W3CDTF">2025-05-28T09:55:00Z</dcterms:created>
  <cp:lastPrinted>2026-08-10T10:11:00Z</cp:lastPrinted>
  <dcterms:modified xsi:type="dcterms:W3CDTF">2026-08-17T15:47:21Z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27962A4EB370E0D089BC826A70AE4FD1_43</vt:lpwstr>
  </property>
  <property fmtid="{D5CDD505-2E9C-101B-9397-08002B2CF9AE}" pid="3" name="KSOProductBuildVer">
    <vt:lpwstr>1033-12.1.2.24819</vt:lpwstr>
  </property>
  <property fmtid="{D5CDD505-2E9C-101B-9397-08002B2CF9AE}" pid="4" name="CalculationRule">
    <vt:i4>0</vt:i4>
  </property>
</Properties>
</file>